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TE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7" authorId="0">
      <text>
        <r>
          <rPr>
            <sz val="10"/>
            <rFont val="Arial"/>
            <family val="2"/>
          </rPr>
          <t xml:space="preserve">Spare rows: type a role name and FTE here to add a role, then set its monthly percentages below.</t>
        </r>
      </text>
    </comment>
    <comment ref="B5" authorId="0">
      <text>
        <r>
          <rPr>
            <sz val="10"/>
            <rFont val="Arial"/>
            <family val="2"/>
          </rPr>
          <t xml:space="preserve">First day of the first forecast month</t>
        </r>
      </text>
    </comment>
    <comment ref="D18" authorId="0">
      <text>
        <r>
          <rPr>
            <sz val="10"/>
            <rFont val="Arial"/>
            <family val="2"/>
          </rPr>
          <t xml:space="preserve">How many months (from the start month) this role is needed. Leave blank for the full forecast duration.</t>
        </r>
      </text>
    </comment>
  </commentList>
</comments>
</file>

<file path=xl/sharedStrings.xml><?xml version="1.0" encoding="utf-8"?>
<sst xmlns="http://schemas.openxmlformats.org/spreadsheetml/2006/main" count="52" uniqueCount="47">
  <si>
    <t xml:space="preserve">HEX Aero Team FTE &amp; Hours Forecast</t>
  </si>
  <si>
    <t xml:space="preserve">4x10 schedule (Mon-Thu). Yellow cells are inputs; everything else computes automatically.</t>
  </si>
  <si>
    <t xml:space="preserve">Inputs</t>
  </si>
  <si>
    <t xml:space="preserve">Start month</t>
  </si>
  <si>
    <t xml:space="preserve">Company holiday dates are entered in the Holidays table at the bottom of the sheet.</t>
  </si>
  <si>
    <t xml:space="preserve">Number of months (1-12)</t>
  </si>
  <si>
    <t xml:space="preserve">Hours per workday</t>
  </si>
  <si>
    <t xml:space="preserve">Calendar (auto-computed)</t>
  </si>
  <si>
    <t xml:space="preserve">Month</t>
  </si>
  <si>
    <t xml:space="preserve">Total</t>
  </si>
  <si>
    <t xml:space="preserve">Workdays (Mon-Thu)</t>
  </si>
  <si>
    <t xml:space="preserve">Holidays in month</t>
  </si>
  <si>
    <t xml:space="preserve">Net workdays</t>
  </si>
  <si>
    <t xml:space="preserve">Available hours per 1.0 FTE</t>
  </si>
  <si>
    <t xml:space="preserve">Role hours by month</t>
  </si>
  <si>
    <t xml:space="preserve">Role</t>
  </si>
  <si>
    <t xml:space="preserve">Description</t>
  </si>
  <si>
    <t xml:space="preserve">Avg FTE/wk</t>
  </si>
  <si>
    <t xml:space="preserve">Months needed</t>
  </si>
  <si>
    <t xml:space="preserve">Total hrs</t>
  </si>
  <si>
    <t xml:space="preserve">Aero lead</t>
  </si>
  <si>
    <t xml:space="preserve">Interfaces across disciplines; owns aero requirements and responsibilities; task allocation; leads meetings; keeps program on track; handles inbound aero requests</t>
  </si>
  <si>
    <t xml:space="preserve">Vehicle configuration engineer</t>
  </si>
  <si>
    <t xml:space="preserve">Keeps model up to date; tracks changes; CAD cleanup; prepares geometry for FEA; main POC with airframe/structures</t>
  </si>
  <si>
    <t xml:space="preserve">Component analysis engineer</t>
  </si>
  <si>
    <t xml:space="preserve">Interfaces with loads &amp; criteria; incorporates model changes; runs component-level analyses to ensure proper sizing/design</t>
  </si>
  <si>
    <t xml:space="preserve">Vehicle point performance analysis engineer</t>
  </si>
  <si>
    <t xml:space="preserve">Full-vehicle performance analysis; integrates design changes; runs StarCCM+ and Helios across operating conditions; owns StarCCM+ meshing</t>
  </si>
  <si>
    <t xml:space="preserve">Maneuver analysis engineer</t>
  </si>
  <si>
    <t xml:space="preserve">Runs maneuver/trim analyses in the framework</t>
  </si>
  <si>
    <t xml:space="preserve">Maneuver framework engineer</t>
  </si>
  <si>
    <t xml:space="preserve">Maintains maneuver framework; integrates model/mesh updates; interfaces with rotors, handling qualities, loads &amp; criteria, mass properties</t>
  </si>
  <si>
    <t xml:space="preserve">Aero thermal engineer</t>
  </si>
  <si>
    <t xml:space="preserve">Interfaces with thermal team; momentum drag calculations; aero-thermal integration</t>
  </si>
  <si>
    <t xml:space="preserve">Mesh engineer</t>
  </si>
  <si>
    <t xml:space="preserve">Surface mesh in StarCCM+ from model updates; volume mesh in Pointwise for Helios/maneuver; distributes meshes and tracks status (bursty workload)</t>
  </si>
  <si>
    <t xml:space="preserve">Team total</t>
  </si>
  <si>
    <t xml:space="preserve">Monthly allocation percentages (per role)</t>
  </si>
  <si>
    <t xml:space="preserve">Share of each role's total hours landing in each month. Percentages over the role's active months must sum to 100% — the Check column flags anything else. Months beyond a role's "Months needed" are ignored.</t>
  </si>
  <si>
    <t xml:space="preserve">Check</t>
  </si>
  <si>
    <t xml:space="preserve">Company holidays (exact dates)</t>
  </si>
  <si>
    <t xml:space="preserve">Company-wide days off. Only dates landing on a Mon-Thu inside the forecast window are counted. 20 slots; leave unused blank.</t>
  </si>
  <si>
    <t xml:space="preserve">Holiday</t>
  </si>
  <si>
    <t xml:space="preserve">Date</t>
  </si>
  <si>
    <t xml:space="preserve">Labor Day</t>
  </si>
  <si>
    <t xml:space="preserve">Thanksgiving</t>
  </si>
  <si>
    <t xml:space="preserve">Winter shutdown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</si>
</sst>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mmm\ yyyy"/>
    <numFmt numFmtId="166" formatCode="mmm\-yy"/>
    <numFmt numFmtId="167" formatCode="0;\-0;;@"/>
    <numFmt numFmtId="168" formatCode="0.0"/>
    <numFmt numFmtId="169" formatCode="0%;\-0%;;@"/>
    <numFmt numFmtId="170" formatCode="m/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B5EA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4A3AA7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6DFF2"/>
      </patternFill>
    </fill>
    <fill>
      <patternFill patternType="solid">
        <fgColor rgb="FFFFF2CC"/>
        <bgColor rgb="FFFDE7E9"/>
      </patternFill>
    </fill>
    <fill>
      <patternFill patternType="solid">
        <fgColor rgb="FF1F4E79"/>
        <bgColor rgb="FF4A3AA7"/>
      </patternFill>
    </fill>
    <fill>
      <patternFill patternType="solid">
        <fgColor rgb="FFE6DFF2"/>
        <bgColor rgb="FFD9E2F3"/>
      </patternFill>
    </fill>
    <fill>
      <patternFill patternType="solid">
        <fgColor rgb="FF7B5EA7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b val="1"/>
        <color rgb="FFC00000"/>
      </font>
      <fill>
        <patternFill>
          <bgColor rgb="FFFDE7E9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6DF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E7E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B5EA7"/>
      <rgbColor rgb="FF969696"/>
      <rgbColor rgb="FF1F4E79"/>
      <rgbColor rgb="FF339966"/>
      <rgbColor rgb="FF003300"/>
      <rgbColor rgb="FF333300"/>
      <rgbColor rgb="FF993300"/>
      <rgbColor rgb="FF993366"/>
      <rgbColor rgb="FF4A3AA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8"/>
    <col collapsed="false" customWidth="true" hidden="false" outlineLevel="0" max="4" min="3" style="0" width="10"/>
    <col collapsed="false" customWidth="true" hidden="false" outlineLevel="0" max="16" min="5" style="0" width="8.5"/>
    <col collapsed="false" customWidth="true" hidden="false" outlineLevel="0" max="17" min="17" style="0" width="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0" t="s">
        <v>3</v>
      </c>
      <c r="B5" s="4" t="n">
        <v>46235</v>
      </c>
      <c r="C5" s="5" t="s">
        <v>4</v>
      </c>
    </row>
    <row r="6" customFormat="false" ht="15" hidden="false" customHeight="false" outlineLevel="0" collapsed="false">
      <c r="A6" s="0" t="s">
        <v>5</v>
      </c>
      <c r="B6" s="6" t="n">
        <v>5</v>
      </c>
    </row>
    <row r="7" customFormat="false" ht="15" hidden="false" customHeight="false" outlineLevel="0" collapsed="false">
      <c r="A7" s="0" t="s">
        <v>6</v>
      </c>
      <c r="B7" s="6" t="n">
        <v>10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7" t="s">
        <v>8</v>
      </c>
      <c r="B11" s="7"/>
      <c r="C11" s="7"/>
      <c r="D11" s="7"/>
      <c r="E11" s="8" t="n">
        <f aca="false">IF(1&lt;=$B$6,EDATE($B$5,0),"")</f>
        <v>46235</v>
      </c>
      <c r="F11" s="8" t="n">
        <f aca="false">IF(2&lt;=$B$6,EDATE($B$5,1),"")</f>
        <v>46266</v>
      </c>
      <c r="G11" s="8" t="n">
        <f aca="false">IF(3&lt;=$B$6,EDATE($B$5,2),"")</f>
        <v>46296</v>
      </c>
      <c r="H11" s="8" t="n">
        <f aca="false">IF(4&lt;=$B$6,EDATE($B$5,3),"")</f>
        <v>46327</v>
      </c>
      <c r="I11" s="8" t="n">
        <f aca="false">IF(5&lt;=$B$6,EDATE($B$5,4),"")</f>
        <v>46357</v>
      </c>
      <c r="J11" s="8" t="str">
        <f aca="false">IF(6&lt;=$B$6,EDATE($B$5,5),"")</f>
        <v/>
      </c>
      <c r="K11" s="8" t="str">
        <f aca="false">IF(7&lt;=$B$6,EDATE($B$5,6),"")</f>
        <v/>
      </c>
      <c r="L11" s="8" t="str">
        <f aca="false">IF(8&lt;=$B$6,EDATE($B$5,7),"")</f>
        <v/>
      </c>
      <c r="M11" s="8" t="str">
        <f aca="false">IF(9&lt;=$B$6,EDATE($B$5,8),"")</f>
        <v/>
      </c>
      <c r="N11" s="8" t="str">
        <f aca="false">IF(10&lt;=$B$6,EDATE($B$5,9),"")</f>
        <v/>
      </c>
      <c r="O11" s="8" t="str">
        <f aca="false">IF(11&lt;=$B$6,EDATE($B$5,10),"")</f>
        <v/>
      </c>
      <c r="P11" s="8" t="str">
        <f aca="false">IF(12&lt;=$B$6,EDATE($B$5,11),"")</f>
        <v/>
      </c>
      <c r="Q11" s="9" t="s">
        <v>9</v>
      </c>
    </row>
    <row r="12" customFormat="false" ht="15" hidden="false" customHeight="false" outlineLevel="0" collapsed="false">
      <c r="A12" s="10" t="s">
        <v>10</v>
      </c>
      <c r="B12" s="10"/>
      <c r="C12" s="10"/>
      <c r="D12" s="10"/>
      <c r="E12" s="10" t="n">
        <f aca="false">IF(E11="",0,NETWORKDAYS.INTL(E11,EOMONTH(E11,0),"0000111"))</f>
        <v>17</v>
      </c>
      <c r="F12" s="10" t="n">
        <f aca="false">IF(F11="",0,NETWORKDAYS.INTL(F11,EOMONTH(F11,0),"0000111"))</f>
        <v>18</v>
      </c>
      <c r="G12" s="10" t="n">
        <f aca="false">IF(G11="",0,NETWORKDAYS.INTL(G11,EOMONTH(G11,0),"0000111"))</f>
        <v>17</v>
      </c>
      <c r="H12" s="10" t="n">
        <f aca="false">IF(H11="",0,NETWORKDAYS.INTL(H11,EOMONTH(H11,0),"0000111"))</f>
        <v>17</v>
      </c>
      <c r="I12" s="10" t="n">
        <f aca="false">IF(I11="",0,NETWORKDAYS.INTL(I11,EOMONTH(I11,0),"0000111"))</f>
        <v>19</v>
      </c>
      <c r="J12" s="10" t="n">
        <f aca="false">IF(J11="",0,NETWORKDAYS.INTL(J11,EOMONTH(J11,0),"0000111"))</f>
        <v>0</v>
      </c>
      <c r="K12" s="10" t="n">
        <f aca="false">IF(K11="",0,NETWORKDAYS.INTL(K11,EOMONTH(K11,0),"0000111"))</f>
        <v>0</v>
      </c>
      <c r="L12" s="10" t="n">
        <f aca="false">IF(L11="",0,NETWORKDAYS.INTL(L11,EOMONTH(L11,0),"0000111"))</f>
        <v>0</v>
      </c>
      <c r="M12" s="10" t="n">
        <f aca="false">IF(M11="",0,NETWORKDAYS.INTL(M11,EOMONTH(M11,0),"0000111"))</f>
        <v>0</v>
      </c>
      <c r="N12" s="10" t="n">
        <f aca="false">IF(N11="",0,NETWORKDAYS.INTL(N11,EOMONTH(N11,0),"0000111"))</f>
        <v>0</v>
      </c>
      <c r="O12" s="10" t="n">
        <f aca="false">IF(O11="",0,NETWORKDAYS.INTL(O11,EOMONTH(O11,0),"0000111"))</f>
        <v>0</v>
      </c>
      <c r="P12" s="10" t="n">
        <f aca="false">IF(P11="",0,NETWORKDAYS.INTL(P11,EOMONTH(P11,0),"0000111"))</f>
        <v>0</v>
      </c>
      <c r="Q12" s="10" t="n">
        <f aca="false">SUM(E12:P12)</f>
        <v>88</v>
      </c>
    </row>
    <row r="13" customFormat="false" ht="15" hidden="false" customHeight="false" outlineLevel="0" collapsed="false">
      <c r="A13" s="10" t="s">
        <v>11</v>
      </c>
      <c r="B13" s="10"/>
      <c r="C13" s="10"/>
      <c r="D13" s="10"/>
      <c r="E13" s="10" t="n">
        <f aca="false">IF(E11="",0,E12-NETWORKDAYS.INTL(E11,EOMONTH(E11,0),"0000111",$B$52:$B$71))</f>
        <v>0</v>
      </c>
      <c r="F13" s="10" t="n">
        <f aca="false">IF(F11="",0,F12-NETWORKDAYS.INTL(F11,EOMONTH(F11,0),"0000111",$B$52:$B$71))</f>
        <v>1</v>
      </c>
      <c r="G13" s="10" t="n">
        <f aca="false">IF(G11="",0,G12-NETWORKDAYS.INTL(G11,EOMONTH(G11,0),"0000111",$B$52:$B$71))</f>
        <v>0</v>
      </c>
      <c r="H13" s="10" t="n">
        <f aca="false">IF(H11="",0,H12-NETWORKDAYS.INTL(H11,EOMONTH(H11,0),"0000111",$B$52:$B$71))</f>
        <v>1</v>
      </c>
      <c r="I13" s="10" t="n">
        <f aca="false">IF(I11="",0,I12-NETWORKDAYS.INTL(I11,EOMONTH(I11,0),"0000111",$B$52:$B$71))</f>
        <v>5</v>
      </c>
      <c r="J13" s="10" t="n">
        <f aca="false">IF(J11="",0,J12-NETWORKDAYS.INTL(J11,EOMONTH(J11,0),"0000111",$B$52:$B$71))</f>
        <v>0</v>
      </c>
      <c r="K13" s="10" t="n">
        <f aca="false">IF(K11="",0,K12-NETWORKDAYS.INTL(K11,EOMONTH(K11,0),"0000111",$B$52:$B$71))</f>
        <v>0</v>
      </c>
      <c r="L13" s="10" t="n">
        <f aca="false">IF(L11="",0,L12-NETWORKDAYS.INTL(L11,EOMONTH(L11,0),"0000111",$B$52:$B$71))</f>
        <v>0</v>
      </c>
      <c r="M13" s="10" t="n">
        <f aca="false">IF(M11="",0,M12-NETWORKDAYS.INTL(M11,EOMONTH(M11,0),"0000111",$B$52:$B$71))</f>
        <v>0</v>
      </c>
      <c r="N13" s="10" t="n">
        <f aca="false">IF(N11="",0,N12-NETWORKDAYS.INTL(N11,EOMONTH(N11,0),"0000111",$B$52:$B$71))</f>
        <v>0</v>
      </c>
      <c r="O13" s="10" t="n">
        <f aca="false">IF(O11="",0,O12-NETWORKDAYS.INTL(O11,EOMONTH(O11,0),"0000111",$B$52:$B$71))</f>
        <v>0</v>
      </c>
      <c r="P13" s="10" t="n">
        <f aca="false">IF(P11="",0,P12-NETWORKDAYS.INTL(P11,EOMONTH(P11,0),"0000111",$B$52:$B$71))</f>
        <v>0</v>
      </c>
      <c r="Q13" s="10" t="n">
        <f aca="false">SUM(E13:P13)</f>
        <v>7</v>
      </c>
    </row>
    <row r="14" customFormat="false" ht="15" hidden="false" customHeight="false" outlineLevel="0" collapsed="false">
      <c r="A14" s="10" t="s">
        <v>12</v>
      </c>
      <c r="B14" s="10"/>
      <c r="C14" s="10"/>
      <c r="D14" s="10"/>
      <c r="E14" s="10" t="n">
        <f aca="false">E12-E13</f>
        <v>17</v>
      </c>
      <c r="F14" s="10" t="n">
        <f aca="false">F12-F13</f>
        <v>17</v>
      </c>
      <c r="G14" s="10" t="n">
        <f aca="false">G12-G13</f>
        <v>17</v>
      </c>
      <c r="H14" s="10" t="n">
        <f aca="false">H12-H13</f>
        <v>16</v>
      </c>
      <c r="I14" s="10" t="n">
        <f aca="false">I12-I13</f>
        <v>14</v>
      </c>
      <c r="J14" s="10" t="n">
        <f aca="false">J12-J13</f>
        <v>0</v>
      </c>
      <c r="K14" s="10" t="n">
        <f aca="false">K12-K13</f>
        <v>0</v>
      </c>
      <c r="L14" s="10" t="n">
        <f aca="false">L12-L13</f>
        <v>0</v>
      </c>
      <c r="M14" s="10" t="n">
        <f aca="false">M12-M13</f>
        <v>0</v>
      </c>
      <c r="N14" s="10" t="n">
        <f aca="false">N12-N13</f>
        <v>0</v>
      </c>
      <c r="O14" s="10" t="n">
        <f aca="false">O12-O13</f>
        <v>0</v>
      </c>
      <c r="P14" s="10" t="n">
        <f aca="false">P12-P13</f>
        <v>0</v>
      </c>
      <c r="Q14" s="10" t="n">
        <f aca="false">SUM(E14:P14)</f>
        <v>81</v>
      </c>
    </row>
    <row r="15" customFormat="false" ht="15" hidden="false" customHeight="false" outlineLevel="0" collapsed="false">
      <c r="A15" s="10" t="s">
        <v>13</v>
      </c>
      <c r="B15" s="10"/>
      <c r="C15" s="10"/>
      <c r="D15" s="10"/>
      <c r="E15" s="10" t="n">
        <f aca="false">E14*$B$7</f>
        <v>170</v>
      </c>
      <c r="F15" s="10" t="n">
        <f aca="false">F14*$B$7</f>
        <v>170</v>
      </c>
      <c r="G15" s="10" t="n">
        <f aca="false">G14*$B$7</f>
        <v>170</v>
      </c>
      <c r="H15" s="10" t="n">
        <f aca="false">H14*$B$7</f>
        <v>160</v>
      </c>
      <c r="I15" s="10" t="n">
        <f aca="false">I14*$B$7</f>
        <v>140</v>
      </c>
      <c r="J15" s="10" t="n">
        <f aca="false">J14*$B$7</f>
        <v>0</v>
      </c>
      <c r="K15" s="10" t="n">
        <f aca="false">K14*$B$7</f>
        <v>0</v>
      </c>
      <c r="L15" s="10" t="n">
        <f aca="false">L14*$B$7</f>
        <v>0</v>
      </c>
      <c r="M15" s="10" t="n">
        <f aca="false">M14*$B$7</f>
        <v>0</v>
      </c>
      <c r="N15" s="10" t="n">
        <f aca="false">N14*$B$7</f>
        <v>0</v>
      </c>
      <c r="O15" s="10" t="n">
        <f aca="false">O14*$B$7</f>
        <v>0</v>
      </c>
      <c r="P15" s="10" t="n">
        <f aca="false">P14*$B$7</f>
        <v>0</v>
      </c>
      <c r="Q15" s="10" t="n">
        <f aca="false">SUM(E15:P15)</f>
        <v>810</v>
      </c>
    </row>
    <row r="17" customFormat="false" ht="15" hidden="false" customHeight="false" outlineLevel="0" collapsed="false">
      <c r="A17" s="3" t="s">
        <v>14</v>
      </c>
    </row>
    <row r="18" customFormat="false" ht="26.85" hidden="false" customHeight="false" outlineLevel="0" collapsed="false">
      <c r="A18" s="11" t="s">
        <v>15</v>
      </c>
      <c r="B18" s="11" t="s">
        <v>16</v>
      </c>
      <c r="C18" s="11" t="s">
        <v>17</v>
      </c>
      <c r="D18" s="11" t="s">
        <v>18</v>
      </c>
      <c r="E18" s="8" t="n">
        <f aca="false">E11</f>
        <v>46235</v>
      </c>
      <c r="F18" s="8" t="n">
        <f aca="false">F11</f>
        <v>46266</v>
      </c>
      <c r="G18" s="8" t="n">
        <f aca="false">G11</f>
        <v>46296</v>
      </c>
      <c r="H18" s="8" t="n">
        <f aca="false">H11</f>
        <v>46327</v>
      </c>
      <c r="I18" s="8" t="n">
        <f aca="false">I11</f>
        <v>46357</v>
      </c>
      <c r="J18" s="8" t="str">
        <f aca="false">J11</f>
        <v/>
      </c>
      <c r="K18" s="8" t="str">
        <f aca="false">K11</f>
        <v/>
      </c>
      <c r="L18" s="8" t="str">
        <f aca="false">L11</f>
        <v/>
      </c>
      <c r="M18" s="8" t="str">
        <f aca="false">M11</f>
        <v/>
      </c>
      <c r="N18" s="8" t="str">
        <f aca="false">N11</f>
        <v/>
      </c>
      <c r="O18" s="8" t="str">
        <f aca="false">O11</f>
        <v/>
      </c>
      <c r="P18" s="8" t="str">
        <f aca="false">P11</f>
        <v/>
      </c>
      <c r="Q18" s="9" t="s">
        <v>19</v>
      </c>
    </row>
    <row r="19" customFormat="false" ht="32.8" hidden="false" customHeight="false" outlineLevel="0" collapsed="false">
      <c r="A19" s="12" t="s">
        <v>20</v>
      </c>
      <c r="B19" s="13" t="s">
        <v>21</v>
      </c>
      <c r="C19" s="14" t="n">
        <v>0.5</v>
      </c>
      <c r="D19" s="15"/>
      <c r="E19" s="10" t="n">
        <f aca="false">IF(OR($A19="",E$11="",1&gt;IF($D19="",$B$6,MIN($D19,$B$6))),0,$Q19*N(E34))</f>
        <v>81</v>
      </c>
      <c r="F19" s="10" t="n">
        <f aca="false">IF(OR($A19="",F$11="",2&gt;IF($D19="",$B$6,MIN($D19,$B$6))),0,$Q19*N(F34))</f>
        <v>81</v>
      </c>
      <c r="G19" s="10" t="n">
        <f aca="false">IF(OR($A19="",G$11="",3&gt;IF($D19="",$B$6,MIN($D19,$B$6))),0,$Q19*N(G34))</f>
        <v>81</v>
      </c>
      <c r="H19" s="10" t="n">
        <f aca="false">IF(OR($A19="",H$11="",4&gt;IF($D19="",$B$6,MIN($D19,$B$6))),0,$Q19*N(H34))</f>
        <v>81</v>
      </c>
      <c r="I19" s="10" t="n">
        <f aca="false">IF(OR($A19="",I$11="",5&gt;IF($D19="",$B$6,MIN($D19,$B$6))),0,$Q19*N(I34))</f>
        <v>81</v>
      </c>
      <c r="J19" s="10" t="n">
        <f aca="false">IF(OR($A19="",J$11="",6&gt;IF($D19="",$B$6,MIN($D19,$B$6))),0,$Q19*N(J34))</f>
        <v>0</v>
      </c>
      <c r="K19" s="10" t="n">
        <f aca="false">IF(OR($A19="",K$11="",7&gt;IF($D19="",$B$6,MIN($D19,$B$6))),0,$Q19*N(K34))</f>
        <v>0</v>
      </c>
      <c r="L19" s="10" t="n">
        <f aca="false">IF(OR($A19="",L$11="",8&gt;IF($D19="",$B$6,MIN($D19,$B$6))),0,$Q19*N(L34))</f>
        <v>0</v>
      </c>
      <c r="M19" s="10" t="n">
        <f aca="false">IF(OR($A19="",M$11="",9&gt;IF($D19="",$B$6,MIN($D19,$B$6))),0,$Q19*N(M34))</f>
        <v>0</v>
      </c>
      <c r="N19" s="10" t="n">
        <f aca="false">IF(OR($A19="",N$11="",10&gt;IF($D19="",$B$6,MIN($D19,$B$6))),0,$Q19*N(N34))</f>
        <v>0</v>
      </c>
      <c r="O19" s="10" t="n">
        <f aca="false">IF(OR($A19="",O$11="",11&gt;IF($D19="",$B$6,MIN($D19,$B$6))),0,$Q19*N(O34))</f>
        <v>0</v>
      </c>
      <c r="P19" s="10" t="n">
        <f aca="false">IF(OR($A19="",P$11="",12&gt;IF($D19="",$B$6,MIN($D19,$B$6))),0,$Q19*N(P34))</f>
        <v>0</v>
      </c>
      <c r="Q19" s="10" t="n">
        <f aca="false">IF($A19="",0,$C19*SUMPRODUCT($E$15:$P$15,--((COLUMN($E$15:$P$15)-COLUMN($E$15)+1)&lt;=IF($D19="",$B$6,MIN($D19,$B$6)))))</f>
        <v>405</v>
      </c>
    </row>
    <row r="20" customFormat="false" ht="22.35" hidden="false" customHeight="false" outlineLevel="0" collapsed="false">
      <c r="A20" s="12" t="s">
        <v>22</v>
      </c>
      <c r="B20" s="13" t="s">
        <v>23</v>
      </c>
      <c r="C20" s="14" t="n">
        <v>0.1</v>
      </c>
      <c r="D20" s="15"/>
      <c r="E20" s="10" t="n">
        <f aca="false">IF(OR($A20="",E$11="",1&gt;IF($D20="",$B$6,MIN($D20,$B$6))),0,$Q20*N(E35))</f>
        <v>16.2</v>
      </c>
      <c r="F20" s="10" t="n">
        <f aca="false">IF(OR($A20="",F$11="",2&gt;IF($D20="",$B$6,MIN($D20,$B$6))),0,$Q20*N(F35))</f>
        <v>16.2</v>
      </c>
      <c r="G20" s="10" t="n">
        <f aca="false">IF(OR($A20="",G$11="",3&gt;IF($D20="",$B$6,MIN($D20,$B$6))),0,$Q20*N(G35))</f>
        <v>16.2</v>
      </c>
      <c r="H20" s="10" t="n">
        <f aca="false">IF(OR($A20="",H$11="",4&gt;IF($D20="",$B$6,MIN($D20,$B$6))),0,$Q20*N(H35))</f>
        <v>16.2</v>
      </c>
      <c r="I20" s="10" t="n">
        <f aca="false">IF(OR($A20="",I$11="",5&gt;IF($D20="",$B$6,MIN($D20,$B$6))),0,$Q20*N(I35))</f>
        <v>16.2</v>
      </c>
      <c r="J20" s="10" t="n">
        <f aca="false">IF(OR($A20="",J$11="",6&gt;IF($D20="",$B$6,MIN($D20,$B$6))),0,$Q20*N(J35))</f>
        <v>0</v>
      </c>
      <c r="K20" s="10" t="n">
        <f aca="false">IF(OR($A20="",K$11="",7&gt;IF($D20="",$B$6,MIN($D20,$B$6))),0,$Q20*N(K35))</f>
        <v>0</v>
      </c>
      <c r="L20" s="10" t="n">
        <f aca="false">IF(OR($A20="",L$11="",8&gt;IF($D20="",$B$6,MIN($D20,$B$6))),0,$Q20*N(L35))</f>
        <v>0</v>
      </c>
      <c r="M20" s="10" t="n">
        <f aca="false">IF(OR($A20="",M$11="",9&gt;IF($D20="",$B$6,MIN($D20,$B$6))),0,$Q20*N(M35))</f>
        <v>0</v>
      </c>
      <c r="N20" s="10" t="n">
        <f aca="false">IF(OR($A20="",N$11="",10&gt;IF($D20="",$B$6,MIN($D20,$B$6))),0,$Q20*N(N35))</f>
        <v>0</v>
      </c>
      <c r="O20" s="10" t="n">
        <f aca="false">IF(OR($A20="",O$11="",11&gt;IF($D20="",$B$6,MIN($D20,$B$6))),0,$Q20*N(O35))</f>
        <v>0</v>
      </c>
      <c r="P20" s="10" t="n">
        <f aca="false">IF(OR($A20="",P$11="",12&gt;IF($D20="",$B$6,MIN($D20,$B$6))),0,$Q20*N(P35))</f>
        <v>0</v>
      </c>
      <c r="Q20" s="10" t="n">
        <f aca="false">IF($A20="",0,$C20*SUMPRODUCT($E$15:$P$15,--((COLUMN($E$15:$P$15)-COLUMN($E$15)+1)&lt;=IF($D20="",$B$6,MIN($D20,$B$6)))))</f>
        <v>81</v>
      </c>
    </row>
    <row r="21" customFormat="false" ht="22.35" hidden="false" customHeight="false" outlineLevel="0" collapsed="false">
      <c r="A21" s="12" t="s">
        <v>24</v>
      </c>
      <c r="B21" s="13" t="s">
        <v>25</v>
      </c>
      <c r="C21" s="14" t="n">
        <v>0.5</v>
      </c>
      <c r="D21" s="15"/>
      <c r="E21" s="10" t="n">
        <f aca="false">IF(OR($A21="",E$11="",1&gt;IF($D21="",$B$6,MIN($D21,$B$6))),0,$Q21*N(E36))</f>
        <v>81</v>
      </c>
      <c r="F21" s="10" t="n">
        <f aca="false">IF(OR($A21="",F$11="",2&gt;IF($D21="",$B$6,MIN($D21,$B$6))),0,$Q21*N(F36))</f>
        <v>81</v>
      </c>
      <c r="G21" s="10" t="n">
        <f aca="false">IF(OR($A21="",G$11="",3&gt;IF($D21="",$B$6,MIN($D21,$B$6))),0,$Q21*N(G36))</f>
        <v>81</v>
      </c>
      <c r="H21" s="10" t="n">
        <f aca="false">IF(OR($A21="",H$11="",4&gt;IF($D21="",$B$6,MIN($D21,$B$6))),0,$Q21*N(H36))</f>
        <v>81</v>
      </c>
      <c r="I21" s="10" t="n">
        <f aca="false">IF(OR($A21="",I$11="",5&gt;IF($D21="",$B$6,MIN($D21,$B$6))),0,$Q21*N(I36))</f>
        <v>81</v>
      </c>
      <c r="J21" s="10" t="n">
        <f aca="false">IF(OR($A21="",J$11="",6&gt;IF($D21="",$B$6,MIN($D21,$B$6))),0,$Q21*N(J36))</f>
        <v>0</v>
      </c>
      <c r="K21" s="10" t="n">
        <f aca="false">IF(OR($A21="",K$11="",7&gt;IF($D21="",$B$6,MIN($D21,$B$6))),0,$Q21*N(K36))</f>
        <v>0</v>
      </c>
      <c r="L21" s="10" t="n">
        <f aca="false">IF(OR($A21="",L$11="",8&gt;IF($D21="",$B$6,MIN($D21,$B$6))),0,$Q21*N(L36))</f>
        <v>0</v>
      </c>
      <c r="M21" s="10" t="n">
        <f aca="false">IF(OR($A21="",M$11="",9&gt;IF($D21="",$B$6,MIN($D21,$B$6))),0,$Q21*N(M36))</f>
        <v>0</v>
      </c>
      <c r="N21" s="10" t="n">
        <f aca="false">IF(OR($A21="",N$11="",10&gt;IF($D21="",$B$6,MIN($D21,$B$6))),0,$Q21*N(N36))</f>
        <v>0</v>
      </c>
      <c r="O21" s="10" t="n">
        <f aca="false">IF(OR($A21="",O$11="",11&gt;IF($D21="",$B$6,MIN($D21,$B$6))),0,$Q21*N(O36))</f>
        <v>0</v>
      </c>
      <c r="P21" s="10" t="n">
        <f aca="false">IF(OR($A21="",P$11="",12&gt;IF($D21="",$B$6,MIN($D21,$B$6))),0,$Q21*N(P36))</f>
        <v>0</v>
      </c>
      <c r="Q21" s="10" t="n">
        <f aca="false">IF($A21="",0,$C21*SUMPRODUCT($E$15:$P$15,--((COLUMN($E$15:$P$15)-COLUMN($E$15)+1)&lt;=IF($D21="",$B$6,MIN($D21,$B$6)))))</f>
        <v>405</v>
      </c>
    </row>
    <row r="22" customFormat="false" ht="32.8" hidden="false" customHeight="false" outlineLevel="0" collapsed="false">
      <c r="A22" s="12" t="s">
        <v>26</v>
      </c>
      <c r="B22" s="13" t="s">
        <v>27</v>
      </c>
      <c r="C22" s="14" t="n">
        <v>0.5</v>
      </c>
      <c r="D22" s="15"/>
      <c r="E22" s="10" t="n">
        <f aca="false">IF(OR($A22="",E$11="",1&gt;IF($D22="",$B$6,MIN($D22,$B$6))),0,$Q22*N(E37))</f>
        <v>81</v>
      </c>
      <c r="F22" s="10" t="n">
        <f aca="false">IF(OR($A22="",F$11="",2&gt;IF($D22="",$B$6,MIN($D22,$B$6))),0,$Q22*N(F37))</f>
        <v>81</v>
      </c>
      <c r="G22" s="10" t="n">
        <f aca="false">IF(OR($A22="",G$11="",3&gt;IF($D22="",$B$6,MIN($D22,$B$6))),0,$Q22*N(G37))</f>
        <v>81</v>
      </c>
      <c r="H22" s="10" t="n">
        <f aca="false">IF(OR($A22="",H$11="",4&gt;IF($D22="",$B$6,MIN($D22,$B$6))),0,$Q22*N(H37))</f>
        <v>81</v>
      </c>
      <c r="I22" s="10" t="n">
        <f aca="false">IF(OR($A22="",I$11="",5&gt;IF($D22="",$B$6,MIN($D22,$B$6))),0,$Q22*N(I37))</f>
        <v>81</v>
      </c>
      <c r="J22" s="10" t="n">
        <f aca="false">IF(OR($A22="",J$11="",6&gt;IF($D22="",$B$6,MIN($D22,$B$6))),0,$Q22*N(J37))</f>
        <v>0</v>
      </c>
      <c r="K22" s="10" t="n">
        <f aca="false">IF(OR($A22="",K$11="",7&gt;IF($D22="",$B$6,MIN($D22,$B$6))),0,$Q22*N(K37))</f>
        <v>0</v>
      </c>
      <c r="L22" s="10" t="n">
        <f aca="false">IF(OR($A22="",L$11="",8&gt;IF($D22="",$B$6,MIN($D22,$B$6))),0,$Q22*N(L37))</f>
        <v>0</v>
      </c>
      <c r="M22" s="10" t="n">
        <f aca="false">IF(OR($A22="",M$11="",9&gt;IF($D22="",$B$6,MIN($D22,$B$6))),0,$Q22*N(M37))</f>
        <v>0</v>
      </c>
      <c r="N22" s="10" t="n">
        <f aca="false">IF(OR($A22="",N$11="",10&gt;IF($D22="",$B$6,MIN($D22,$B$6))),0,$Q22*N(N37))</f>
        <v>0</v>
      </c>
      <c r="O22" s="10" t="n">
        <f aca="false">IF(OR($A22="",O$11="",11&gt;IF($D22="",$B$6,MIN($D22,$B$6))),0,$Q22*N(O37))</f>
        <v>0</v>
      </c>
      <c r="P22" s="10" t="n">
        <f aca="false">IF(OR($A22="",P$11="",12&gt;IF($D22="",$B$6,MIN($D22,$B$6))),0,$Q22*N(P37))</f>
        <v>0</v>
      </c>
      <c r="Q22" s="10" t="n">
        <f aca="false">IF($A22="",0,$C22*SUMPRODUCT($E$15:$P$15,--((COLUMN($E$15:$P$15)-COLUMN($E$15)+1)&lt;=IF($D22="",$B$6,MIN($D22,$B$6)))))</f>
        <v>405</v>
      </c>
    </row>
    <row r="23" customFormat="false" ht="15" hidden="false" customHeight="false" outlineLevel="0" collapsed="false">
      <c r="A23" s="12" t="s">
        <v>28</v>
      </c>
      <c r="B23" s="13" t="s">
        <v>29</v>
      </c>
      <c r="C23" s="14" t="n">
        <v>0.1</v>
      </c>
      <c r="D23" s="15"/>
      <c r="E23" s="10" t="n">
        <f aca="false">IF(OR($A23="",E$11="",1&gt;IF($D23="",$B$6,MIN($D23,$B$6))),0,$Q23*N(E38))</f>
        <v>16.2</v>
      </c>
      <c r="F23" s="10" t="n">
        <f aca="false">IF(OR($A23="",F$11="",2&gt;IF($D23="",$B$6,MIN($D23,$B$6))),0,$Q23*N(F38))</f>
        <v>16.2</v>
      </c>
      <c r="G23" s="10" t="n">
        <f aca="false">IF(OR($A23="",G$11="",3&gt;IF($D23="",$B$6,MIN($D23,$B$6))),0,$Q23*N(G38))</f>
        <v>16.2</v>
      </c>
      <c r="H23" s="10" t="n">
        <f aca="false">IF(OR($A23="",H$11="",4&gt;IF($D23="",$B$6,MIN($D23,$B$6))),0,$Q23*N(H38))</f>
        <v>16.2</v>
      </c>
      <c r="I23" s="10" t="n">
        <f aca="false">IF(OR($A23="",I$11="",5&gt;IF($D23="",$B$6,MIN($D23,$B$6))),0,$Q23*N(I38))</f>
        <v>16.2</v>
      </c>
      <c r="J23" s="10" t="n">
        <f aca="false">IF(OR($A23="",J$11="",6&gt;IF($D23="",$B$6,MIN($D23,$B$6))),0,$Q23*N(J38))</f>
        <v>0</v>
      </c>
      <c r="K23" s="10" t="n">
        <f aca="false">IF(OR($A23="",K$11="",7&gt;IF($D23="",$B$6,MIN($D23,$B$6))),0,$Q23*N(K38))</f>
        <v>0</v>
      </c>
      <c r="L23" s="10" t="n">
        <f aca="false">IF(OR($A23="",L$11="",8&gt;IF($D23="",$B$6,MIN($D23,$B$6))),0,$Q23*N(L38))</f>
        <v>0</v>
      </c>
      <c r="M23" s="10" t="n">
        <f aca="false">IF(OR($A23="",M$11="",9&gt;IF($D23="",$B$6,MIN($D23,$B$6))),0,$Q23*N(M38))</f>
        <v>0</v>
      </c>
      <c r="N23" s="10" t="n">
        <f aca="false">IF(OR($A23="",N$11="",10&gt;IF($D23="",$B$6,MIN($D23,$B$6))),0,$Q23*N(N38))</f>
        <v>0</v>
      </c>
      <c r="O23" s="10" t="n">
        <f aca="false">IF(OR($A23="",O$11="",11&gt;IF($D23="",$B$6,MIN($D23,$B$6))),0,$Q23*N(O38))</f>
        <v>0</v>
      </c>
      <c r="P23" s="10" t="n">
        <f aca="false">IF(OR($A23="",P$11="",12&gt;IF($D23="",$B$6,MIN($D23,$B$6))),0,$Q23*N(P38))</f>
        <v>0</v>
      </c>
      <c r="Q23" s="10" t="n">
        <f aca="false">IF($A23="",0,$C23*SUMPRODUCT($E$15:$P$15,--((COLUMN($E$15:$P$15)-COLUMN($E$15)+1)&lt;=IF($D23="",$B$6,MIN($D23,$B$6)))))</f>
        <v>81</v>
      </c>
    </row>
    <row r="24" customFormat="false" ht="32.8" hidden="false" customHeight="false" outlineLevel="0" collapsed="false">
      <c r="A24" s="12" t="s">
        <v>30</v>
      </c>
      <c r="B24" s="13" t="s">
        <v>31</v>
      </c>
      <c r="C24" s="14" t="n">
        <v>0.1</v>
      </c>
      <c r="D24" s="15"/>
      <c r="E24" s="10" t="n">
        <f aca="false">IF(OR($A24="",E$11="",1&gt;IF($D24="",$B$6,MIN($D24,$B$6))),0,$Q24*N(E39))</f>
        <v>16.2</v>
      </c>
      <c r="F24" s="10" t="n">
        <f aca="false">IF(OR($A24="",F$11="",2&gt;IF($D24="",$B$6,MIN($D24,$B$6))),0,$Q24*N(F39))</f>
        <v>16.2</v>
      </c>
      <c r="G24" s="10" t="n">
        <f aca="false">IF(OR($A24="",G$11="",3&gt;IF($D24="",$B$6,MIN($D24,$B$6))),0,$Q24*N(G39))</f>
        <v>16.2</v>
      </c>
      <c r="H24" s="10" t="n">
        <f aca="false">IF(OR($A24="",H$11="",4&gt;IF($D24="",$B$6,MIN($D24,$B$6))),0,$Q24*N(H39))</f>
        <v>16.2</v>
      </c>
      <c r="I24" s="10" t="n">
        <f aca="false">IF(OR($A24="",I$11="",5&gt;IF($D24="",$B$6,MIN($D24,$B$6))),0,$Q24*N(I39))</f>
        <v>16.2</v>
      </c>
      <c r="J24" s="10" t="n">
        <f aca="false">IF(OR($A24="",J$11="",6&gt;IF($D24="",$B$6,MIN($D24,$B$6))),0,$Q24*N(J39))</f>
        <v>0</v>
      </c>
      <c r="K24" s="10" t="n">
        <f aca="false">IF(OR($A24="",K$11="",7&gt;IF($D24="",$B$6,MIN($D24,$B$6))),0,$Q24*N(K39))</f>
        <v>0</v>
      </c>
      <c r="L24" s="10" t="n">
        <f aca="false">IF(OR($A24="",L$11="",8&gt;IF($D24="",$B$6,MIN($D24,$B$6))),0,$Q24*N(L39))</f>
        <v>0</v>
      </c>
      <c r="M24" s="10" t="n">
        <f aca="false">IF(OR($A24="",M$11="",9&gt;IF($D24="",$B$6,MIN($D24,$B$6))),0,$Q24*N(M39))</f>
        <v>0</v>
      </c>
      <c r="N24" s="10" t="n">
        <f aca="false">IF(OR($A24="",N$11="",10&gt;IF($D24="",$B$6,MIN($D24,$B$6))),0,$Q24*N(N39))</f>
        <v>0</v>
      </c>
      <c r="O24" s="10" t="n">
        <f aca="false">IF(OR($A24="",O$11="",11&gt;IF($D24="",$B$6,MIN($D24,$B$6))),0,$Q24*N(O39))</f>
        <v>0</v>
      </c>
      <c r="P24" s="10" t="n">
        <f aca="false">IF(OR($A24="",P$11="",12&gt;IF($D24="",$B$6,MIN($D24,$B$6))),0,$Q24*N(P39))</f>
        <v>0</v>
      </c>
      <c r="Q24" s="10" t="n">
        <f aca="false">IF($A24="",0,$C24*SUMPRODUCT($E$15:$P$15,--((COLUMN($E$15:$P$15)-COLUMN($E$15)+1)&lt;=IF($D24="",$B$6,MIN($D24,$B$6)))))</f>
        <v>81</v>
      </c>
    </row>
    <row r="25" customFormat="false" ht="22.35" hidden="false" customHeight="false" outlineLevel="0" collapsed="false">
      <c r="A25" s="12" t="s">
        <v>32</v>
      </c>
      <c r="B25" s="13" t="s">
        <v>33</v>
      </c>
      <c r="C25" s="14" t="n">
        <v>0.2</v>
      </c>
      <c r="D25" s="15"/>
      <c r="E25" s="10" t="n">
        <f aca="false">IF(OR($A25="",E$11="",1&gt;IF($D25="",$B$6,MIN($D25,$B$6))),0,$Q25*N(E40))</f>
        <v>32.4</v>
      </c>
      <c r="F25" s="10" t="n">
        <f aca="false">IF(OR($A25="",F$11="",2&gt;IF($D25="",$B$6,MIN($D25,$B$6))),0,$Q25*N(F40))</f>
        <v>32.4</v>
      </c>
      <c r="G25" s="10" t="n">
        <f aca="false">IF(OR($A25="",G$11="",3&gt;IF($D25="",$B$6,MIN($D25,$B$6))),0,$Q25*N(G40))</f>
        <v>32.4</v>
      </c>
      <c r="H25" s="10" t="n">
        <f aca="false">IF(OR($A25="",H$11="",4&gt;IF($D25="",$B$6,MIN($D25,$B$6))),0,$Q25*N(H40))</f>
        <v>32.4</v>
      </c>
      <c r="I25" s="10" t="n">
        <f aca="false">IF(OR($A25="",I$11="",5&gt;IF($D25="",$B$6,MIN($D25,$B$6))),0,$Q25*N(I40))</f>
        <v>32.4</v>
      </c>
      <c r="J25" s="10" t="n">
        <f aca="false">IF(OR($A25="",J$11="",6&gt;IF($D25="",$B$6,MIN($D25,$B$6))),0,$Q25*N(J40))</f>
        <v>0</v>
      </c>
      <c r="K25" s="10" t="n">
        <f aca="false">IF(OR($A25="",K$11="",7&gt;IF($D25="",$B$6,MIN($D25,$B$6))),0,$Q25*N(K40))</f>
        <v>0</v>
      </c>
      <c r="L25" s="10" t="n">
        <f aca="false">IF(OR($A25="",L$11="",8&gt;IF($D25="",$B$6,MIN($D25,$B$6))),0,$Q25*N(L40))</f>
        <v>0</v>
      </c>
      <c r="M25" s="10" t="n">
        <f aca="false">IF(OR($A25="",M$11="",9&gt;IF($D25="",$B$6,MIN($D25,$B$6))),0,$Q25*N(M40))</f>
        <v>0</v>
      </c>
      <c r="N25" s="10" t="n">
        <f aca="false">IF(OR($A25="",N$11="",10&gt;IF($D25="",$B$6,MIN($D25,$B$6))),0,$Q25*N(N40))</f>
        <v>0</v>
      </c>
      <c r="O25" s="10" t="n">
        <f aca="false">IF(OR($A25="",O$11="",11&gt;IF($D25="",$B$6,MIN($D25,$B$6))),0,$Q25*N(O40))</f>
        <v>0</v>
      </c>
      <c r="P25" s="10" t="n">
        <f aca="false">IF(OR($A25="",P$11="",12&gt;IF($D25="",$B$6,MIN($D25,$B$6))),0,$Q25*N(P40))</f>
        <v>0</v>
      </c>
      <c r="Q25" s="10" t="n">
        <f aca="false">IF($A25="",0,$C25*SUMPRODUCT($E$15:$P$15,--((COLUMN($E$15:$P$15)-COLUMN($E$15)+1)&lt;=IF($D25="",$B$6,MIN($D25,$B$6)))))</f>
        <v>162</v>
      </c>
    </row>
    <row r="26" customFormat="false" ht="32.8" hidden="false" customHeight="false" outlineLevel="0" collapsed="false">
      <c r="A26" s="12" t="s">
        <v>34</v>
      </c>
      <c r="B26" s="13" t="s">
        <v>35</v>
      </c>
      <c r="C26" s="14" t="n">
        <v>0.1</v>
      </c>
      <c r="D26" s="15"/>
      <c r="E26" s="10" t="n">
        <f aca="false">IF(OR($A26="",E$11="",1&gt;IF($D26="",$B$6,MIN($D26,$B$6))),0,$Q26*N(E41))</f>
        <v>16.2</v>
      </c>
      <c r="F26" s="10" t="n">
        <f aca="false">IF(OR($A26="",F$11="",2&gt;IF($D26="",$B$6,MIN($D26,$B$6))),0,$Q26*N(F41))</f>
        <v>16.2</v>
      </c>
      <c r="G26" s="10" t="n">
        <f aca="false">IF(OR($A26="",G$11="",3&gt;IF($D26="",$B$6,MIN($D26,$B$6))),0,$Q26*N(G41))</f>
        <v>16.2</v>
      </c>
      <c r="H26" s="10" t="n">
        <f aca="false">IF(OR($A26="",H$11="",4&gt;IF($D26="",$B$6,MIN($D26,$B$6))),0,$Q26*N(H41))</f>
        <v>16.2</v>
      </c>
      <c r="I26" s="10" t="n">
        <f aca="false">IF(OR($A26="",I$11="",5&gt;IF($D26="",$B$6,MIN($D26,$B$6))),0,$Q26*N(I41))</f>
        <v>16.2</v>
      </c>
      <c r="J26" s="10" t="n">
        <f aca="false">IF(OR($A26="",J$11="",6&gt;IF($D26="",$B$6,MIN($D26,$B$6))),0,$Q26*N(J41))</f>
        <v>0</v>
      </c>
      <c r="K26" s="10" t="n">
        <f aca="false">IF(OR($A26="",K$11="",7&gt;IF($D26="",$B$6,MIN($D26,$B$6))),0,$Q26*N(K41))</f>
        <v>0</v>
      </c>
      <c r="L26" s="10" t="n">
        <f aca="false">IF(OR($A26="",L$11="",8&gt;IF($D26="",$B$6,MIN($D26,$B$6))),0,$Q26*N(L41))</f>
        <v>0</v>
      </c>
      <c r="M26" s="10" t="n">
        <f aca="false">IF(OR($A26="",M$11="",9&gt;IF($D26="",$B$6,MIN($D26,$B$6))),0,$Q26*N(M41))</f>
        <v>0</v>
      </c>
      <c r="N26" s="10" t="n">
        <f aca="false">IF(OR($A26="",N$11="",10&gt;IF($D26="",$B$6,MIN($D26,$B$6))),0,$Q26*N(N41))</f>
        <v>0</v>
      </c>
      <c r="O26" s="10" t="n">
        <f aca="false">IF(OR($A26="",O$11="",11&gt;IF($D26="",$B$6,MIN($D26,$B$6))),0,$Q26*N(O41))</f>
        <v>0</v>
      </c>
      <c r="P26" s="10" t="n">
        <f aca="false">IF(OR($A26="",P$11="",12&gt;IF($D26="",$B$6,MIN($D26,$B$6))),0,$Q26*N(P41))</f>
        <v>0</v>
      </c>
      <c r="Q26" s="10" t="n">
        <f aca="false">IF($A26="",0,$C26*SUMPRODUCT($E$15:$P$15,--((COLUMN($E$15:$P$15)-COLUMN($E$15)+1)&lt;=IF($D26="",$B$6,MIN($D26,$B$6)))))</f>
        <v>81</v>
      </c>
    </row>
    <row r="27" customFormat="false" ht="15" hidden="false" customHeight="false" outlineLevel="0" collapsed="false">
      <c r="A27" s="15"/>
      <c r="B27" s="16"/>
      <c r="C27" s="14"/>
      <c r="D27" s="15"/>
      <c r="E27" s="10" t="n">
        <f aca="false">IF(OR($A27="",E$11="",1&gt;IF($D27="",$B$6,MIN($D27,$B$6))),0,$Q27*N(E42))</f>
        <v>0</v>
      </c>
      <c r="F27" s="10" t="n">
        <f aca="false">IF(OR($A27="",F$11="",2&gt;IF($D27="",$B$6,MIN($D27,$B$6))),0,$Q27*N(F42))</f>
        <v>0</v>
      </c>
      <c r="G27" s="10" t="n">
        <f aca="false">IF(OR($A27="",G$11="",3&gt;IF($D27="",$B$6,MIN($D27,$B$6))),0,$Q27*N(G42))</f>
        <v>0</v>
      </c>
      <c r="H27" s="10" t="n">
        <f aca="false">IF(OR($A27="",H$11="",4&gt;IF($D27="",$B$6,MIN($D27,$B$6))),0,$Q27*N(H42))</f>
        <v>0</v>
      </c>
      <c r="I27" s="10" t="n">
        <f aca="false">IF(OR($A27="",I$11="",5&gt;IF($D27="",$B$6,MIN($D27,$B$6))),0,$Q27*N(I42))</f>
        <v>0</v>
      </c>
      <c r="J27" s="10" t="n">
        <f aca="false">IF(OR($A27="",J$11="",6&gt;IF($D27="",$B$6,MIN($D27,$B$6))),0,$Q27*N(J42))</f>
        <v>0</v>
      </c>
      <c r="K27" s="10" t="n">
        <f aca="false">IF(OR($A27="",K$11="",7&gt;IF($D27="",$B$6,MIN($D27,$B$6))),0,$Q27*N(K42))</f>
        <v>0</v>
      </c>
      <c r="L27" s="10" t="n">
        <f aca="false">IF(OR($A27="",L$11="",8&gt;IF($D27="",$B$6,MIN($D27,$B$6))),0,$Q27*N(L42))</f>
        <v>0</v>
      </c>
      <c r="M27" s="10" t="n">
        <f aca="false">IF(OR($A27="",M$11="",9&gt;IF($D27="",$B$6,MIN($D27,$B$6))),0,$Q27*N(M42))</f>
        <v>0</v>
      </c>
      <c r="N27" s="10" t="n">
        <f aca="false">IF(OR($A27="",N$11="",10&gt;IF($D27="",$B$6,MIN($D27,$B$6))),0,$Q27*N(N42))</f>
        <v>0</v>
      </c>
      <c r="O27" s="10" t="n">
        <f aca="false">IF(OR($A27="",O$11="",11&gt;IF($D27="",$B$6,MIN($D27,$B$6))),0,$Q27*N(O42))</f>
        <v>0</v>
      </c>
      <c r="P27" s="10" t="n">
        <f aca="false">IF(OR($A27="",P$11="",12&gt;IF($D27="",$B$6,MIN($D27,$B$6))),0,$Q27*N(P42))</f>
        <v>0</v>
      </c>
      <c r="Q27" s="10" t="n">
        <f aca="false">IF($A27="",0,$C27*SUMPRODUCT($E$15:$P$15,--((COLUMN($E$15:$P$15)-COLUMN($E$15)+1)&lt;=IF($D27="",$B$6,MIN($D27,$B$6)))))</f>
        <v>0</v>
      </c>
    </row>
    <row r="28" customFormat="false" ht="15" hidden="false" customHeight="false" outlineLevel="0" collapsed="false">
      <c r="A28" s="15"/>
      <c r="B28" s="16"/>
      <c r="C28" s="14"/>
      <c r="D28" s="15"/>
      <c r="E28" s="10" t="n">
        <f aca="false">IF(OR($A28="",E$11="",1&gt;IF($D28="",$B$6,MIN($D28,$B$6))),0,$Q28*N(E43))</f>
        <v>0</v>
      </c>
      <c r="F28" s="10" t="n">
        <f aca="false">IF(OR($A28="",F$11="",2&gt;IF($D28="",$B$6,MIN($D28,$B$6))),0,$Q28*N(F43))</f>
        <v>0</v>
      </c>
      <c r="G28" s="10" t="n">
        <f aca="false">IF(OR($A28="",G$11="",3&gt;IF($D28="",$B$6,MIN($D28,$B$6))),0,$Q28*N(G43))</f>
        <v>0</v>
      </c>
      <c r="H28" s="10" t="n">
        <f aca="false">IF(OR($A28="",H$11="",4&gt;IF($D28="",$B$6,MIN($D28,$B$6))),0,$Q28*N(H43))</f>
        <v>0</v>
      </c>
      <c r="I28" s="10" t="n">
        <f aca="false">IF(OR($A28="",I$11="",5&gt;IF($D28="",$B$6,MIN($D28,$B$6))),0,$Q28*N(I43))</f>
        <v>0</v>
      </c>
      <c r="J28" s="10" t="n">
        <f aca="false">IF(OR($A28="",J$11="",6&gt;IF($D28="",$B$6,MIN($D28,$B$6))),0,$Q28*N(J43))</f>
        <v>0</v>
      </c>
      <c r="K28" s="10" t="n">
        <f aca="false">IF(OR($A28="",K$11="",7&gt;IF($D28="",$B$6,MIN($D28,$B$6))),0,$Q28*N(K43))</f>
        <v>0</v>
      </c>
      <c r="L28" s="10" t="n">
        <f aca="false">IF(OR($A28="",L$11="",8&gt;IF($D28="",$B$6,MIN($D28,$B$6))),0,$Q28*N(L43))</f>
        <v>0</v>
      </c>
      <c r="M28" s="10" t="n">
        <f aca="false">IF(OR($A28="",M$11="",9&gt;IF($D28="",$B$6,MIN($D28,$B$6))),0,$Q28*N(M43))</f>
        <v>0</v>
      </c>
      <c r="N28" s="10" t="n">
        <f aca="false">IF(OR($A28="",N$11="",10&gt;IF($D28="",$B$6,MIN($D28,$B$6))),0,$Q28*N(N43))</f>
        <v>0</v>
      </c>
      <c r="O28" s="10" t="n">
        <f aca="false">IF(OR($A28="",O$11="",11&gt;IF($D28="",$B$6,MIN($D28,$B$6))),0,$Q28*N(O43))</f>
        <v>0</v>
      </c>
      <c r="P28" s="10" t="n">
        <f aca="false">IF(OR($A28="",P$11="",12&gt;IF($D28="",$B$6,MIN($D28,$B$6))),0,$Q28*N(P43))</f>
        <v>0</v>
      </c>
      <c r="Q28" s="10" t="n">
        <f aca="false">IF($A28="",0,$C28*SUMPRODUCT($E$15:$P$15,--((COLUMN($E$15:$P$15)-COLUMN($E$15)+1)&lt;=IF($D28="",$B$6,MIN($D28,$B$6)))))</f>
        <v>0</v>
      </c>
    </row>
    <row r="29" customFormat="false" ht="15" hidden="false" customHeight="false" outlineLevel="0" collapsed="false">
      <c r="A29" s="15"/>
      <c r="B29" s="16"/>
      <c r="C29" s="14"/>
      <c r="D29" s="15"/>
      <c r="E29" s="10" t="n">
        <f aca="false">IF(OR($A29="",E$11="",1&gt;IF($D29="",$B$6,MIN($D29,$B$6))),0,$Q29*N(E44))</f>
        <v>0</v>
      </c>
      <c r="F29" s="10" t="n">
        <f aca="false">IF(OR($A29="",F$11="",2&gt;IF($D29="",$B$6,MIN($D29,$B$6))),0,$Q29*N(F44))</f>
        <v>0</v>
      </c>
      <c r="G29" s="10" t="n">
        <f aca="false">IF(OR($A29="",G$11="",3&gt;IF($D29="",$B$6,MIN($D29,$B$6))),0,$Q29*N(G44))</f>
        <v>0</v>
      </c>
      <c r="H29" s="10" t="n">
        <f aca="false">IF(OR($A29="",H$11="",4&gt;IF($D29="",$B$6,MIN($D29,$B$6))),0,$Q29*N(H44))</f>
        <v>0</v>
      </c>
      <c r="I29" s="10" t="n">
        <f aca="false">IF(OR($A29="",I$11="",5&gt;IF($D29="",$B$6,MIN($D29,$B$6))),0,$Q29*N(I44))</f>
        <v>0</v>
      </c>
      <c r="J29" s="10" t="n">
        <f aca="false">IF(OR($A29="",J$11="",6&gt;IF($D29="",$B$6,MIN($D29,$B$6))),0,$Q29*N(J44))</f>
        <v>0</v>
      </c>
      <c r="K29" s="10" t="n">
        <f aca="false">IF(OR($A29="",K$11="",7&gt;IF($D29="",$B$6,MIN($D29,$B$6))),0,$Q29*N(K44))</f>
        <v>0</v>
      </c>
      <c r="L29" s="10" t="n">
        <f aca="false">IF(OR($A29="",L$11="",8&gt;IF($D29="",$B$6,MIN($D29,$B$6))),0,$Q29*N(L44))</f>
        <v>0</v>
      </c>
      <c r="M29" s="10" t="n">
        <f aca="false">IF(OR($A29="",M$11="",9&gt;IF($D29="",$B$6,MIN($D29,$B$6))),0,$Q29*N(M44))</f>
        <v>0</v>
      </c>
      <c r="N29" s="10" t="n">
        <f aca="false">IF(OR($A29="",N$11="",10&gt;IF($D29="",$B$6,MIN($D29,$B$6))),0,$Q29*N(N44))</f>
        <v>0</v>
      </c>
      <c r="O29" s="10" t="n">
        <f aca="false">IF(OR($A29="",O$11="",11&gt;IF($D29="",$B$6,MIN($D29,$B$6))),0,$Q29*N(O44))</f>
        <v>0</v>
      </c>
      <c r="P29" s="10" t="n">
        <f aca="false">IF(OR($A29="",P$11="",12&gt;IF($D29="",$B$6,MIN($D29,$B$6))),0,$Q29*N(P44))</f>
        <v>0</v>
      </c>
      <c r="Q29" s="10" t="n">
        <f aca="false">IF($A29="",0,$C29*SUMPRODUCT($E$15:$P$15,--((COLUMN($E$15:$P$15)-COLUMN($E$15)+1)&lt;=IF($D29="",$B$6,MIN($D29,$B$6)))))</f>
        <v>0</v>
      </c>
    </row>
    <row r="30" customFormat="false" ht="15" hidden="false" customHeight="false" outlineLevel="0" collapsed="false">
      <c r="A30" s="17" t="s">
        <v>36</v>
      </c>
      <c r="B30" s="18"/>
      <c r="C30" s="19" t="n">
        <f aca="false">SUM(C19:C29)</f>
        <v>2.1</v>
      </c>
      <c r="D30" s="18"/>
      <c r="E30" s="20" t="n">
        <f aca="false">SUM(E19:E29)</f>
        <v>340.2</v>
      </c>
      <c r="F30" s="20" t="n">
        <f aca="false">SUM(F19:F29)</f>
        <v>340.2</v>
      </c>
      <c r="G30" s="20" t="n">
        <f aca="false">SUM(G19:G29)</f>
        <v>340.2</v>
      </c>
      <c r="H30" s="20" t="n">
        <f aca="false">SUM(H19:H29)</f>
        <v>340.2</v>
      </c>
      <c r="I30" s="20" t="n">
        <f aca="false">SUM(I19:I29)</f>
        <v>340.2</v>
      </c>
      <c r="J30" s="20" t="n">
        <f aca="false">SUM(J19:J29)</f>
        <v>0</v>
      </c>
      <c r="K30" s="20" t="n">
        <f aca="false">SUM(K19:K29)</f>
        <v>0</v>
      </c>
      <c r="L30" s="20" t="n">
        <f aca="false">SUM(L19:L29)</f>
        <v>0</v>
      </c>
      <c r="M30" s="20" t="n">
        <f aca="false">SUM(M19:M29)</f>
        <v>0</v>
      </c>
      <c r="N30" s="20" t="n">
        <f aca="false">SUM(N19:N29)</f>
        <v>0</v>
      </c>
      <c r="O30" s="20" t="n">
        <f aca="false">SUM(O19:O29)</f>
        <v>0</v>
      </c>
      <c r="P30" s="20" t="n">
        <f aca="false">SUM(P19:P29)</f>
        <v>0</v>
      </c>
      <c r="Q30" s="20" t="n">
        <f aca="false">SUM(Q19:Q29)</f>
        <v>1701</v>
      </c>
    </row>
    <row r="32" customFormat="false" ht="15" hidden="false" customHeight="false" outlineLevel="0" collapsed="false">
      <c r="A32" s="21" t="s">
        <v>37</v>
      </c>
      <c r="B32" s="2" t="s">
        <v>38</v>
      </c>
    </row>
    <row r="33" customFormat="false" ht="15" hidden="false" customHeight="false" outlineLevel="0" collapsed="false">
      <c r="A33" s="22" t="s">
        <v>15</v>
      </c>
      <c r="D33" s="23" t="s">
        <v>39</v>
      </c>
      <c r="E33" s="24" t="n">
        <f aca="false">E11</f>
        <v>46235</v>
      </c>
      <c r="F33" s="24" t="n">
        <f aca="false">F11</f>
        <v>46266</v>
      </c>
      <c r="G33" s="24" t="n">
        <f aca="false">G11</f>
        <v>46296</v>
      </c>
      <c r="H33" s="24" t="n">
        <f aca="false">H11</f>
        <v>46327</v>
      </c>
      <c r="I33" s="24" t="n">
        <f aca="false">I11</f>
        <v>46357</v>
      </c>
      <c r="J33" s="24" t="str">
        <f aca="false">J11</f>
        <v/>
      </c>
      <c r="K33" s="24" t="str">
        <f aca="false">K11</f>
        <v/>
      </c>
      <c r="L33" s="24" t="str">
        <f aca="false">L11</f>
        <v/>
      </c>
      <c r="M33" s="24" t="str">
        <f aca="false">M11</f>
        <v/>
      </c>
      <c r="N33" s="24" t="str">
        <f aca="false">N11</f>
        <v/>
      </c>
      <c r="O33" s="24" t="str">
        <f aca="false">O11</f>
        <v/>
      </c>
      <c r="P33" s="24" t="str">
        <f aca="false">P11</f>
        <v/>
      </c>
    </row>
    <row r="34" customFormat="false" ht="15" hidden="false" customHeight="false" outlineLevel="0" collapsed="false">
      <c r="A34" s="12" t="str">
        <f aca="false">IF(A19="","",A19)</f>
        <v>Aero lead</v>
      </c>
      <c r="D34" s="25" t="str">
        <f aca="false">IF($A19="","",IF(ABS(SUMPRODUCT(N(+$E34:$P34),--((COLUMN($E$34:$P$34)-COLUMN($E$34)+1)&lt;=IF($D19="",$B$6,MIN($D19,$B$6))))-1)&lt;0.001,"OK",TEXT(SUMPRODUCT(N(+$E34:$P34),--((COLUMN($E$34:$P$34)-COLUMN($E$34)+1)&lt;=IF($D19="",$B$6,MIN($D19,$B$6)))),"0%")&amp;" ≠ 100%"))</f>
        <v>OK</v>
      </c>
      <c r="E34" s="26" t="n">
        <v>0.2</v>
      </c>
      <c r="F34" s="26" t="n">
        <v>0.2</v>
      </c>
      <c r="G34" s="26" t="n">
        <v>0.2</v>
      </c>
      <c r="H34" s="26" t="n">
        <v>0.2</v>
      </c>
      <c r="I34" s="26" t="n">
        <v>0.2</v>
      </c>
      <c r="J34" s="26"/>
      <c r="K34" s="26"/>
      <c r="L34" s="26"/>
      <c r="M34" s="26"/>
      <c r="N34" s="26"/>
      <c r="O34" s="26"/>
      <c r="P34" s="26"/>
    </row>
    <row r="35" customFormat="false" ht="15" hidden="false" customHeight="false" outlineLevel="0" collapsed="false">
      <c r="A35" s="12" t="str">
        <f aca="false">IF(A20="","",A20)</f>
        <v>Vehicle configuration engineer</v>
      </c>
      <c r="D35" s="25" t="str">
        <f aca="false">IF($A20="","",IF(ABS(SUMPRODUCT(N(+$E35:$P35),--((COLUMN($E$34:$P$34)-COLUMN($E$34)+1)&lt;=IF($D20="",$B$6,MIN($D20,$B$6))))-1)&lt;0.001,"OK",TEXT(SUMPRODUCT(N(+$E35:$P35),--((COLUMN($E$34:$P$34)-COLUMN($E$34)+1)&lt;=IF($D20="",$B$6,MIN($D20,$B$6)))),"0%")&amp;" ≠ 100%"))</f>
        <v>OK</v>
      </c>
      <c r="E35" s="26" t="n">
        <v>0.2</v>
      </c>
      <c r="F35" s="26" t="n">
        <v>0.2</v>
      </c>
      <c r="G35" s="26" t="n">
        <v>0.2</v>
      </c>
      <c r="H35" s="26" t="n">
        <v>0.2</v>
      </c>
      <c r="I35" s="26" t="n">
        <v>0.2</v>
      </c>
      <c r="J35" s="26"/>
      <c r="K35" s="26"/>
      <c r="L35" s="26"/>
      <c r="M35" s="26"/>
      <c r="N35" s="26"/>
      <c r="O35" s="26"/>
      <c r="P35" s="26"/>
    </row>
    <row r="36" customFormat="false" ht="15" hidden="false" customHeight="false" outlineLevel="0" collapsed="false">
      <c r="A36" s="12" t="str">
        <f aca="false">IF(A21="","",A21)</f>
        <v>Component analysis engineer</v>
      </c>
      <c r="D36" s="25" t="str">
        <f aca="false">IF($A21="","",IF(ABS(SUMPRODUCT(N(+$E36:$P36),--((COLUMN($E$34:$P$34)-COLUMN($E$34)+1)&lt;=IF($D21="",$B$6,MIN($D21,$B$6))))-1)&lt;0.001,"OK",TEXT(SUMPRODUCT(N(+$E36:$P36),--((COLUMN($E$34:$P$34)-COLUMN($E$34)+1)&lt;=IF($D21="",$B$6,MIN($D21,$B$6)))),"0%")&amp;" ≠ 100%"))</f>
        <v>OK</v>
      </c>
      <c r="E36" s="26" t="n">
        <v>0.2</v>
      </c>
      <c r="F36" s="26" t="n">
        <v>0.2</v>
      </c>
      <c r="G36" s="26" t="n">
        <v>0.2</v>
      </c>
      <c r="H36" s="26" t="n">
        <v>0.2</v>
      </c>
      <c r="I36" s="26" t="n">
        <v>0.2</v>
      </c>
      <c r="J36" s="26"/>
      <c r="K36" s="26"/>
      <c r="L36" s="26"/>
      <c r="M36" s="26"/>
      <c r="N36" s="26"/>
      <c r="O36" s="26"/>
      <c r="P36" s="26"/>
    </row>
    <row r="37" customFormat="false" ht="15" hidden="false" customHeight="false" outlineLevel="0" collapsed="false">
      <c r="A37" s="12" t="str">
        <f aca="false">IF(A22="","",A22)</f>
        <v>Vehicle point performance analysis engineer</v>
      </c>
      <c r="D37" s="25" t="str">
        <f aca="false">IF($A22="","",IF(ABS(SUMPRODUCT(N(+$E37:$P37),--((COLUMN($E$34:$P$34)-COLUMN($E$34)+1)&lt;=IF($D22="",$B$6,MIN($D22,$B$6))))-1)&lt;0.001,"OK",TEXT(SUMPRODUCT(N(+$E37:$P37),--((COLUMN($E$34:$P$34)-COLUMN($E$34)+1)&lt;=IF($D22="",$B$6,MIN($D22,$B$6)))),"0%")&amp;" ≠ 100%"))</f>
        <v>OK</v>
      </c>
      <c r="E37" s="26" t="n">
        <v>0.2</v>
      </c>
      <c r="F37" s="26" t="n">
        <v>0.2</v>
      </c>
      <c r="G37" s="26" t="n">
        <v>0.2</v>
      </c>
      <c r="H37" s="26" t="n">
        <v>0.2</v>
      </c>
      <c r="I37" s="26" t="n">
        <v>0.2</v>
      </c>
      <c r="J37" s="26"/>
      <c r="K37" s="26"/>
      <c r="L37" s="26"/>
      <c r="M37" s="26"/>
      <c r="N37" s="26"/>
      <c r="O37" s="26"/>
      <c r="P37" s="26"/>
    </row>
    <row r="38" customFormat="false" ht="15" hidden="false" customHeight="false" outlineLevel="0" collapsed="false">
      <c r="A38" s="12" t="str">
        <f aca="false">IF(A23="","",A23)</f>
        <v>Maneuver analysis engineer</v>
      </c>
      <c r="D38" s="25" t="str">
        <f aca="false">IF($A23="","",IF(ABS(SUMPRODUCT(N(+$E38:$P38),--((COLUMN($E$34:$P$34)-COLUMN($E$34)+1)&lt;=IF($D23="",$B$6,MIN($D23,$B$6))))-1)&lt;0.001,"OK",TEXT(SUMPRODUCT(N(+$E38:$P38),--((COLUMN($E$34:$P$34)-COLUMN($E$34)+1)&lt;=IF($D23="",$B$6,MIN($D23,$B$6)))),"0%")&amp;" ≠ 100%"))</f>
        <v>OK</v>
      </c>
      <c r="E38" s="26" t="n">
        <v>0.2</v>
      </c>
      <c r="F38" s="26" t="n">
        <v>0.2</v>
      </c>
      <c r="G38" s="26" t="n">
        <v>0.2</v>
      </c>
      <c r="H38" s="26" t="n">
        <v>0.2</v>
      </c>
      <c r="I38" s="26" t="n">
        <v>0.2</v>
      </c>
      <c r="J38" s="26"/>
      <c r="K38" s="26"/>
      <c r="L38" s="26"/>
      <c r="M38" s="26"/>
      <c r="N38" s="26"/>
      <c r="O38" s="26"/>
      <c r="P38" s="26"/>
    </row>
    <row r="39" customFormat="false" ht="15" hidden="false" customHeight="false" outlineLevel="0" collapsed="false">
      <c r="A39" s="12" t="str">
        <f aca="false">IF(A24="","",A24)</f>
        <v>Maneuver framework engineer</v>
      </c>
      <c r="D39" s="25" t="str">
        <f aca="false">IF($A24="","",IF(ABS(SUMPRODUCT(N(+$E39:$P39),--((COLUMN($E$34:$P$34)-COLUMN($E$34)+1)&lt;=IF($D24="",$B$6,MIN($D24,$B$6))))-1)&lt;0.001,"OK",TEXT(SUMPRODUCT(N(+$E39:$P39),--((COLUMN($E$34:$P$34)-COLUMN($E$34)+1)&lt;=IF($D24="",$B$6,MIN($D24,$B$6)))),"0%")&amp;" ≠ 100%"))</f>
        <v>OK</v>
      </c>
      <c r="E39" s="26" t="n">
        <v>0.2</v>
      </c>
      <c r="F39" s="26" t="n">
        <v>0.2</v>
      </c>
      <c r="G39" s="26" t="n">
        <v>0.2</v>
      </c>
      <c r="H39" s="26" t="n">
        <v>0.2</v>
      </c>
      <c r="I39" s="26" t="n">
        <v>0.2</v>
      </c>
      <c r="J39" s="26"/>
      <c r="K39" s="26"/>
      <c r="L39" s="26"/>
      <c r="M39" s="26"/>
      <c r="N39" s="26"/>
      <c r="O39" s="26"/>
      <c r="P39" s="26"/>
    </row>
    <row r="40" customFormat="false" ht="15" hidden="false" customHeight="false" outlineLevel="0" collapsed="false">
      <c r="A40" s="12" t="str">
        <f aca="false">IF(A25="","",A25)</f>
        <v>Aero thermal engineer</v>
      </c>
      <c r="D40" s="25" t="str">
        <f aca="false">IF($A25="","",IF(ABS(SUMPRODUCT(N(+$E40:$P40),--((COLUMN($E$34:$P$34)-COLUMN($E$34)+1)&lt;=IF($D25="",$B$6,MIN($D25,$B$6))))-1)&lt;0.001,"OK",TEXT(SUMPRODUCT(N(+$E40:$P40),--((COLUMN($E$34:$P$34)-COLUMN($E$34)+1)&lt;=IF($D25="",$B$6,MIN($D25,$B$6)))),"0%")&amp;" ≠ 100%"))</f>
        <v>OK</v>
      </c>
      <c r="E40" s="26" t="n">
        <v>0.2</v>
      </c>
      <c r="F40" s="26" t="n">
        <v>0.2</v>
      </c>
      <c r="G40" s="26" t="n">
        <v>0.2</v>
      </c>
      <c r="H40" s="26" t="n">
        <v>0.2</v>
      </c>
      <c r="I40" s="26" t="n">
        <v>0.2</v>
      </c>
      <c r="J40" s="26"/>
      <c r="K40" s="26"/>
      <c r="L40" s="26"/>
      <c r="M40" s="26"/>
      <c r="N40" s="26"/>
      <c r="O40" s="26"/>
      <c r="P40" s="26"/>
    </row>
    <row r="41" customFormat="false" ht="15" hidden="false" customHeight="false" outlineLevel="0" collapsed="false">
      <c r="A41" s="12" t="str">
        <f aca="false">IF(A26="","",A26)</f>
        <v>Mesh engineer</v>
      </c>
      <c r="D41" s="25" t="str">
        <f aca="false">IF($A26="","",IF(ABS(SUMPRODUCT(N(+$E41:$P41),--((COLUMN($E$34:$P$34)-COLUMN($E$34)+1)&lt;=IF($D26="",$B$6,MIN($D26,$B$6))))-1)&lt;0.001,"OK",TEXT(SUMPRODUCT(N(+$E41:$P41),--((COLUMN($E$34:$P$34)-COLUMN($E$34)+1)&lt;=IF($D26="",$B$6,MIN($D26,$B$6)))),"0%")&amp;" ≠ 100%"))</f>
        <v>OK</v>
      </c>
      <c r="E41" s="26" t="n">
        <v>0.2</v>
      </c>
      <c r="F41" s="26" t="n">
        <v>0.2</v>
      </c>
      <c r="G41" s="26" t="n">
        <v>0.2</v>
      </c>
      <c r="H41" s="26" t="n">
        <v>0.2</v>
      </c>
      <c r="I41" s="26" t="n">
        <v>0.2</v>
      </c>
      <c r="J41" s="26"/>
      <c r="K41" s="26"/>
      <c r="L41" s="26"/>
      <c r="M41" s="26"/>
      <c r="N41" s="26"/>
      <c r="O41" s="26"/>
      <c r="P41" s="26"/>
    </row>
    <row r="42" customFormat="false" ht="15" hidden="false" customHeight="false" outlineLevel="0" collapsed="false">
      <c r="A42" s="12" t="str">
        <f aca="false">IF(A27="","",A27)</f>
        <v/>
      </c>
      <c r="D42" s="25" t="str">
        <f aca="false">IF($A27="","",IF(ABS(SUMPRODUCT(N(+$E42:$P42),--((COLUMN($E$34:$P$34)-COLUMN($E$34)+1)&lt;=IF($D27="",$B$6,MIN($D27,$B$6))))-1)&lt;0.001,"OK",TEXT(SUMPRODUCT(N(+$E42:$P42),--((COLUMN($E$34:$P$34)-COLUMN($E$34)+1)&lt;=IF($D27="",$B$6,MIN($D27,$B$6)))),"0%")&amp;" ≠ 100%"))</f>
        <v/>
      </c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</row>
    <row r="43" customFormat="false" ht="15" hidden="false" customHeight="false" outlineLevel="0" collapsed="false">
      <c r="A43" s="12" t="str">
        <f aca="false">IF(A28="","",A28)</f>
        <v/>
      </c>
      <c r="D43" s="25" t="str">
        <f aca="false">IF($A28="","",IF(ABS(SUMPRODUCT(N(+$E43:$P43),--((COLUMN($E$34:$P$34)-COLUMN($E$34)+1)&lt;=IF($D28="",$B$6,MIN($D28,$B$6))))-1)&lt;0.001,"OK",TEXT(SUMPRODUCT(N(+$E43:$P43),--((COLUMN($E$34:$P$34)-COLUMN($E$34)+1)&lt;=IF($D28="",$B$6,MIN($D28,$B$6)))),"0%")&amp;" ≠ 100%"))</f>
        <v/>
      </c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</row>
    <row r="44" customFormat="false" ht="15" hidden="false" customHeight="false" outlineLevel="0" collapsed="false">
      <c r="A44" s="12" t="str">
        <f aca="false">IF(A29="","",A29)</f>
        <v/>
      </c>
      <c r="D44" s="25" t="str">
        <f aca="false">IF($A29="","",IF(ABS(SUMPRODUCT(N(+$E44:$P44),--((COLUMN($E$34:$P$34)-COLUMN($E$34)+1)&lt;=IF($D29="",$B$6,MIN($D29,$B$6))))-1)&lt;0.001,"OK",TEXT(SUMPRODUCT(N(+$E44:$P44),--((COLUMN($E$34:$P$34)-COLUMN($E$34)+1)&lt;=IF($D29="",$B$6,MIN($D29,$B$6)))),"0%")&amp;" ≠ 100%"))</f>
        <v/>
      </c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</row>
    <row r="50" customFormat="false" ht="15" hidden="false" customHeight="false" outlineLevel="0" collapsed="false">
      <c r="A50" s="3" t="s">
        <v>40</v>
      </c>
      <c r="B50" s="2" t="s">
        <v>41</v>
      </c>
    </row>
    <row r="51" customFormat="false" ht="15" hidden="false" customHeight="false" outlineLevel="0" collapsed="false">
      <c r="A51" s="27" t="s">
        <v>42</v>
      </c>
      <c r="B51" s="9" t="s">
        <v>43</v>
      </c>
    </row>
    <row r="52" customFormat="false" ht="15" hidden="false" customHeight="false" outlineLevel="0" collapsed="false">
      <c r="A52" s="15" t="s">
        <v>44</v>
      </c>
      <c r="B52" s="28" t="n">
        <v>46272</v>
      </c>
    </row>
    <row r="53" customFormat="false" ht="15" hidden="false" customHeight="false" outlineLevel="0" collapsed="false">
      <c r="A53" s="15" t="s">
        <v>45</v>
      </c>
      <c r="B53" s="28" t="n">
        <v>46352</v>
      </c>
    </row>
    <row r="54" customFormat="false" ht="15" hidden="false" customHeight="false" outlineLevel="0" collapsed="false">
      <c r="A54" s="15" t="s">
        <v>46</v>
      </c>
      <c r="B54" s="28" t="n">
        <v>46380</v>
      </c>
    </row>
    <row r="55" customFormat="false" ht="15" hidden="false" customHeight="false" outlineLevel="0" collapsed="false">
      <c r="A55" s="15" t="s">
        <v>46</v>
      </c>
      <c r="B55" s="28" t="n">
        <v>46384</v>
      </c>
    </row>
    <row r="56" customFormat="false" ht="15" hidden="false" customHeight="false" outlineLevel="0" collapsed="false">
      <c r="A56" s="15" t="s">
        <v>46</v>
      </c>
      <c r="B56" s="28" t="n">
        <v>46385</v>
      </c>
    </row>
    <row r="57" customFormat="false" ht="15" hidden="false" customHeight="false" outlineLevel="0" collapsed="false">
      <c r="A57" s="15" t="s">
        <v>46</v>
      </c>
      <c r="B57" s="28" t="n">
        <v>46386</v>
      </c>
    </row>
    <row r="58" customFormat="false" ht="15" hidden="false" customHeight="false" outlineLevel="0" collapsed="false">
      <c r="A58" s="15" t="s">
        <v>46</v>
      </c>
      <c r="B58" s="28" t="n">
        <v>46387</v>
      </c>
    </row>
    <row r="59" customFormat="false" ht="15" hidden="false" customHeight="false" outlineLevel="0" collapsed="false">
      <c r="A59" s="15"/>
      <c r="B59" s="28"/>
    </row>
    <row r="60" customFormat="false" ht="15" hidden="false" customHeight="false" outlineLevel="0" collapsed="false">
      <c r="A60" s="15"/>
      <c r="B60" s="28"/>
    </row>
    <row r="61" customFormat="false" ht="15" hidden="false" customHeight="false" outlineLevel="0" collapsed="false">
      <c r="A61" s="15"/>
      <c r="B61" s="28"/>
    </row>
    <row r="62" customFormat="false" ht="15" hidden="false" customHeight="false" outlineLevel="0" collapsed="false">
      <c r="A62" s="15"/>
      <c r="B62" s="28"/>
    </row>
    <row r="63" customFormat="false" ht="15" hidden="false" customHeight="false" outlineLevel="0" collapsed="false">
      <c r="A63" s="15"/>
      <c r="B63" s="28"/>
    </row>
    <row r="64" customFormat="false" ht="15" hidden="false" customHeight="false" outlineLevel="0" collapsed="false">
      <c r="A64" s="15"/>
      <c r="B64" s="28"/>
    </row>
    <row r="65" customFormat="false" ht="15" hidden="false" customHeight="false" outlineLevel="0" collapsed="false">
      <c r="A65" s="15"/>
      <c r="B65" s="28"/>
    </row>
    <row r="66" customFormat="false" ht="15" hidden="false" customHeight="false" outlineLevel="0" collapsed="false">
      <c r="A66" s="15"/>
      <c r="B66" s="28"/>
    </row>
    <row r="67" customFormat="false" ht="15" hidden="false" customHeight="false" outlineLevel="0" collapsed="false">
      <c r="A67" s="15"/>
      <c r="B67" s="28"/>
    </row>
    <row r="68" customFormat="false" ht="15" hidden="false" customHeight="false" outlineLevel="0" collapsed="false">
      <c r="A68" s="15"/>
      <c r="B68" s="28"/>
    </row>
    <row r="69" customFormat="false" ht="15" hidden="false" customHeight="false" outlineLevel="0" collapsed="false">
      <c r="A69" s="15"/>
      <c r="B69" s="28"/>
    </row>
    <row r="70" customFormat="false" ht="15" hidden="false" customHeight="false" outlineLevel="0" collapsed="false">
      <c r="A70" s="15"/>
      <c r="B70" s="28"/>
    </row>
    <row r="71" customFormat="false" ht="15" hidden="false" customHeight="false" outlineLevel="0" collapsed="false">
      <c r="A71" s="15"/>
      <c r="B71" s="28"/>
    </row>
  </sheetData>
  <conditionalFormatting sqref="D34:D44">
    <cfRule type="expression" priority="2" aboveAverage="0" equalAverage="0" bottom="0" percent="0" rank="0" text="" dxfId="0">
      <formula>AND($D34&lt;&gt;"",$D34&lt;&gt;"OK")</formula>
    </cfRule>
  </conditionalFormatting>
  <dataValidations count="6">
    <dataValidation allowBlank="false" error="Number of months must be 1-12" errorStyle="stop" errorTitle="Invalid" operator="between" showDropDown="false" showErrorMessage="true" showInputMessage="false" sqref="B6" type="whole">
      <formula1>1</formula1>
      <formula2>12</formula2>
    </dataValidation>
    <dataValidation allowBlank="true" error="Months needed must be 1-12 (or blank for full duration)" errorStyle="stop" errorTitle="Invalid" operator="between" showDropDown="false" showErrorMessage="true" showInputMessage="false" sqref="D19:D29" type="whole">
      <formula1>1</formula1>
      <formula2>12</formula2>
    </dataValidation>
    <dataValidation allowBlank="false" error="Hours per workday must be 1-24" errorStyle="stop" errorTitle="Invalid" operator="between" showDropDown="false" showErrorMessage="true" showInputMessage="false" sqref="B7" type="decimal">
      <formula1>1</formula1>
      <formula2>24</formula2>
    </dataValidation>
    <dataValidation allowBlank="true" error="FTE must be between 0 and 10" errorStyle="stop" errorTitle="Invalid" operator="between" showDropDown="false" showErrorMessage="true" showInputMessage="false" sqref="C19:C29" type="decimal">
      <formula1>0</formula1>
      <formula2>10</formula2>
    </dataValidation>
    <dataValidation allowBlank="true" error="Enter a percentage between 0% and 100%" errorStyle="stop" errorTitle="Invalid" operator="between" showDropDown="false" showErrorMessage="true" showInputMessage="false" sqref="E34:P44" type="decimal">
      <formula1>0</formula1>
      <formula2>1</formula2>
    </dataValidation>
    <dataValidation allowBlank="true" error="Enter a valid date" errorStyle="stop" errorTitle="Invalid" operator="between" showDropDown="false" showErrorMessage="true" showInputMessage="false" sqref="B52:B71" type="date">
      <formula1>DATE(2020,1,1)</formula1>
      <formula2>DATE(2040,1,1)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2026-07-06T12:29:36Z</dcterms:created>
  <dc:creator>openpyxl</dc:creator>
  <dc:description/>
  <dc:language>en-US</dc:language>
  <cp:lastModifiedBy/>
  <dcterms:modified xsi:type="dcterms:W3CDTF">2026-07-06T12:29:36Z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